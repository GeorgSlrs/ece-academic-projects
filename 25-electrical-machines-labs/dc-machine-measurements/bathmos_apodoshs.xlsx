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Μαμά\Μαμά\dc\"/>
    </mc:Choice>
  </mc:AlternateContent>
  <xr:revisionPtr revIDLastSave="0" documentId="13_ncr:1_{6888F7E7-4FE4-4CBD-9571-89CA4E928CAA}" xr6:coauthVersionLast="47" xr6:coauthVersionMax="47" xr10:uidLastSave="{00000000-0000-0000-0000-000000000000}"/>
  <bookViews>
    <workbookView xWindow="-120" yWindow="-120" windowWidth="29040" windowHeight="15840" xr2:uid="{3BE9E65C-C350-4590-8DEF-E4E2B2847762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9" i="1" l="1"/>
  <c r="I29" i="1"/>
  <c r="D29" i="1"/>
  <c r="H29" i="1" s="1"/>
  <c r="J28" i="1"/>
  <c r="I28" i="1"/>
  <c r="D28" i="1"/>
  <c r="H28" i="1" s="1"/>
  <c r="J27" i="1"/>
  <c r="I27" i="1"/>
  <c r="D27" i="1"/>
  <c r="H27" i="1" s="1"/>
  <c r="J26" i="1"/>
  <c r="I26" i="1"/>
  <c r="D26" i="1"/>
  <c r="H26" i="1" s="1"/>
  <c r="J25" i="1"/>
  <c r="I25" i="1"/>
  <c r="D25" i="1"/>
  <c r="H25" i="1" s="1"/>
  <c r="J24" i="1"/>
  <c r="I24" i="1"/>
  <c r="D24" i="1"/>
  <c r="H24" i="1" s="1"/>
  <c r="J23" i="1"/>
  <c r="I23" i="1"/>
  <c r="D23" i="1"/>
  <c r="H23" i="1" s="1"/>
  <c r="J22" i="1"/>
  <c r="I22" i="1"/>
  <c r="D22" i="1"/>
  <c r="H22" i="1" s="1"/>
  <c r="J21" i="1"/>
  <c r="I21" i="1"/>
  <c r="D21" i="1"/>
  <c r="H21" i="1" s="1"/>
  <c r="J20" i="1"/>
  <c r="I20" i="1"/>
  <c r="D20" i="1"/>
  <c r="H20" i="1" s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  <c r="H5" i="1"/>
  <c r="H2" i="1"/>
  <c r="K2" i="1" s="1"/>
  <c r="D3" i="1"/>
  <c r="H3" i="1" s="1"/>
  <c r="D4" i="1"/>
  <c r="H4" i="1" s="1"/>
  <c r="D5" i="1"/>
  <c r="D6" i="1"/>
  <c r="H6" i="1" s="1"/>
  <c r="D7" i="1"/>
  <c r="H7" i="1" s="1"/>
  <c r="D8" i="1"/>
  <c r="H8" i="1" s="1"/>
  <c r="D9" i="1"/>
  <c r="H9" i="1" s="1"/>
  <c r="K9" i="1" s="1"/>
  <c r="D10" i="1"/>
  <c r="H10" i="1" s="1"/>
  <c r="D11" i="1"/>
  <c r="H11" i="1" s="1"/>
  <c r="D2" i="1"/>
  <c r="K5" i="1" l="1"/>
  <c r="K8" i="1"/>
  <c r="K4" i="1"/>
  <c r="K11" i="1"/>
  <c r="K7" i="1"/>
  <c r="K3" i="1"/>
  <c r="K23" i="1"/>
  <c r="K10" i="1"/>
  <c r="K6" i="1"/>
  <c r="K24" i="1"/>
  <c r="K25" i="1"/>
  <c r="K28" i="1"/>
  <c r="K29" i="1"/>
  <c r="K22" i="1"/>
  <c r="K27" i="1"/>
  <c r="K21" i="1"/>
  <c r="K26" i="1"/>
  <c r="K20" i="1"/>
</calcChain>
</file>

<file path=xl/sharedStrings.xml><?xml version="1.0" encoding="utf-8"?>
<sst xmlns="http://schemas.openxmlformats.org/spreadsheetml/2006/main" count="39" uniqueCount="13">
  <si>
    <t xml:space="preserve"> n (rpm) </t>
  </si>
  <si>
    <t>Mel1 (Nm)</t>
  </si>
  <si>
    <t>ΙΤ1 (Α)</t>
  </si>
  <si>
    <r>
      <t>I</t>
    </r>
    <r>
      <rPr>
        <vertAlign val="subscript"/>
        <sz val="11"/>
        <color theme="1"/>
        <rFont val="Calibri"/>
        <family val="2"/>
        <charset val="161"/>
        <scheme val="minor"/>
      </rPr>
      <t>f1</t>
    </r>
  </si>
  <si>
    <t xml:space="preserve">Uf1 </t>
  </si>
  <si>
    <r>
      <t>U</t>
    </r>
    <r>
      <rPr>
        <vertAlign val="subscript"/>
        <sz val="11"/>
        <color theme="1"/>
        <rFont val="Calibri"/>
        <family val="2"/>
        <charset val="161"/>
        <scheme val="minor"/>
      </rPr>
      <t>T1</t>
    </r>
    <r>
      <rPr>
        <sz val="11"/>
        <color theme="1"/>
        <rFont val="Calibri"/>
        <family val="2"/>
        <charset val="161"/>
        <scheme val="minor"/>
      </rPr>
      <t xml:space="preserve"> </t>
    </r>
  </si>
  <si>
    <t xml:space="preserve">Pαξ = Mel1*Ω      </t>
  </si>
  <si>
    <t>PT = UT1*IT1</t>
  </si>
  <si>
    <r>
      <t>P</t>
    </r>
    <r>
      <rPr>
        <vertAlign val="subscript"/>
        <sz val="11"/>
        <color theme="1"/>
        <rFont val="Calibri"/>
        <family val="2"/>
        <charset val="161"/>
        <scheme val="minor"/>
      </rPr>
      <t>f</t>
    </r>
    <r>
      <rPr>
        <sz val="11"/>
        <color theme="1"/>
        <rFont val="Calibri"/>
        <family val="2"/>
        <charset val="161"/>
        <scheme val="minor"/>
      </rPr>
      <t xml:space="preserve"> = U</t>
    </r>
    <r>
      <rPr>
        <vertAlign val="subscript"/>
        <sz val="11"/>
        <color theme="1"/>
        <rFont val="Calibri"/>
        <family val="2"/>
        <charset val="161"/>
        <scheme val="minor"/>
      </rPr>
      <t>f1</t>
    </r>
    <r>
      <rPr>
        <sz val="11"/>
        <color theme="1"/>
        <rFont val="Calibri"/>
        <family val="2"/>
        <charset val="161"/>
        <scheme val="minor"/>
      </rPr>
      <t>*I</t>
    </r>
    <r>
      <rPr>
        <vertAlign val="subscript"/>
        <sz val="11"/>
        <color theme="1"/>
        <rFont val="Calibri"/>
        <family val="2"/>
        <charset val="161"/>
        <scheme val="minor"/>
      </rPr>
      <t>f1</t>
    </r>
  </si>
  <si>
    <t>Pf = Uf1*If1</t>
  </si>
  <si>
    <t>Ω</t>
  </si>
  <si>
    <t>η</t>
  </si>
  <si>
    <t>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</si>
</sst>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"/>
  </numFmts>
  <fonts count="4" x14ac:knownFonts="1">
    <font>
      <sz val="11"/>
      <color theme="1"/>
      <name val="Calibri"/>
      <family val="2"/>
      <charset val="161"/>
      <scheme val="minor"/>
    </font>
    <font>
      <vertAlign val="subscript"/>
      <sz val="11"/>
      <color theme="1"/>
      <name val="Calibri"/>
      <family val="2"/>
      <charset val="161"/>
      <scheme val="minor"/>
    </font>
    <font>
      <sz val="8"/>
      <name val="Calibri"/>
      <family val="2"/>
      <charset val="161"/>
      <scheme val="minor"/>
    </font>
    <font>
      <b/>
      <i/>
      <u/>
      <sz val="14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B7A7-DC91-49FB-BB63-BD8106574AB8}">
  <dimension ref="A1:AM31"/>
  <sheetViews>
    <sheetView tabSelected="1" workbookViewId="0">
      <selection activeCell="AE18" sqref="AE18"/>
    </sheetView>
  </sheetViews>
  <sheetFormatPr defaultRowHeight="15" x14ac:dyDescent="0.25"/>
  <cols>
    <col min="2" max="2" width="9.140625" style="3"/>
    <col min="3" max="4" width="9.140625" style="4"/>
    <col min="6" max="6" width="9.140625" style="5"/>
    <col min="8" max="8" width="15.140625" customWidth="1"/>
    <col min="9" max="9" width="12" customWidth="1"/>
    <col min="13" max="13" width="5.7109375" customWidth="1"/>
    <col min="14" max="14" width="7.85546875" customWidth="1"/>
    <col min="15" max="15" width="8" customWidth="1"/>
    <col min="16" max="17" width="6.42578125" customWidth="1"/>
    <col min="20" max="20" width="9.140625" style="5"/>
  </cols>
  <sheetData>
    <row r="1" spans="1:39" ht="18" x14ac:dyDescent="0.35">
      <c r="A1" s="5" t="s">
        <v>1</v>
      </c>
      <c r="B1" s="2" t="s">
        <v>2</v>
      </c>
      <c r="C1" s="5" t="s">
        <v>0</v>
      </c>
      <c r="D1" s="5" t="s">
        <v>10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2" t="s">
        <v>8</v>
      </c>
      <c r="K1" s="5" t="s">
        <v>11</v>
      </c>
      <c r="L1" s="5"/>
      <c r="M1" s="5"/>
      <c r="N1" s="5"/>
      <c r="O1" s="5"/>
      <c r="P1" s="5"/>
      <c r="Q1" s="5"/>
      <c r="R1" s="5" t="s">
        <v>1</v>
      </c>
      <c r="S1" s="5" t="s">
        <v>2</v>
      </c>
      <c r="T1" s="5" t="s">
        <v>0</v>
      </c>
      <c r="U1" s="5" t="s">
        <v>10</v>
      </c>
      <c r="V1" s="5" t="s">
        <v>6</v>
      </c>
      <c r="W1" s="5" t="s">
        <v>7</v>
      </c>
      <c r="X1" s="5" t="s">
        <v>9</v>
      </c>
      <c r="Y1" s="5" t="s">
        <v>11</v>
      </c>
      <c r="Z1" s="5"/>
      <c r="AA1" s="5"/>
    </row>
    <row r="2" spans="1:39" x14ac:dyDescent="0.25">
      <c r="A2" s="5">
        <v>1.62</v>
      </c>
      <c r="B2" s="2">
        <v>1</v>
      </c>
      <c r="C2" s="5">
        <v>746</v>
      </c>
      <c r="D2" s="5">
        <f>C2*2*3.14/60</f>
        <v>78.081333333333333</v>
      </c>
      <c r="E2" s="5">
        <v>0.76</v>
      </c>
      <c r="F2" s="5">
        <v>210</v>
      </c>
      <c r="G2" s="5">
        <v>130</v>
      </c>
      <c r="H2" s="5">
        <f>A2*D2</f>
        <v>126.49176000000001</v>
      </c>
      <c r="I2" s="5">
        <f>G2*B2</f>
        <v>130</v>
      </c>
      <c r="J2" s="5">
        <f>F2*E2</f>
        <v>159.6</v>
      </c>
      <c r="K2" s="5">
        <f>H2/(I2+J2)</f>
        <v>0.43678093922651934</v>
      </c>
      <c r="L2" s="5"/>
      <c r="M2" s="5"/>
      <c r="N2" s="5"/>
      <c r="O2" s="5"/>
      <c r="P2" s="5"/>
      <c r="Q2" s="5"/>
      <c r="R2" s="5">
        <v>1.62</v>
      </c>
      <c r="S2" s="5">
        <v>1</v>
      </c>
      <c r="T2" s="5">
        <v>746</v>
      </c>
      <c r="U2" s="8">
        <v>78.081333333333333</v>
      </c>
      <c r="V2" s="8">
        <v>126.49176000000001</v>
      </c>
      <c r="W2" s="5">
        <v>130</v>
      </c>
      <c r="X2" s="5">
        <v>159.6</v>
      </c>
      <c r="Y2" s="9">
        <v>0.43678093922651934</v>
      </c>
      <c r="Z2" s="5"/>
      <c r="AA2" s="5"/>
    </row>
    <row r="3" spans="1:39" x14ac:dyDescent="0.25">
      <c r="A3" s="5">
        <v>4.01</v>
      </c>
      <c r="B3" s="2">
        <v>2.5</v>
      </c>
      <c r="C3" s="5">
        <v>746</v>
      </c>
      <c r="D3" s="5">
        <f t="shared" ref="D3:D11" si="0">C3*2*3.14/60</f>
        <v>78.081333333333333</v>
      </c>
      <c r="E3" s="5">
        <v>0.76</v>
      </c>
      <c r="F3" s="5">
        <v>210</v>
      </c>
      <c r="G3" s="5">
        <v>130</v>
      </c>
      <c r="H3" s="5">
        <f>A3*D3</f>
        <v>313.10614666666663</v>
      </c>
      <c r="I3" s="5">
        <f t="shared" ref="I3:I11" si="1">G3*B3</f>
        <v>325</v>
      </c>
      <c r="J3" s="5">
        <f t="shared" ref="J3:J11" si="2">F3*E3</f>
        <v>159.6</v>
      </c>
      <c r="K3" s="5">
        <f t="shared" ref="K3:K11" si="3">H3/(I3+J3)</f>
        <v>0.64611256018709573</v>
      </c>
      <c r="L3" s="5"/>
      <c r="M3" s="5"/>
      <c r="N3" s="5"/>
      <c r="O3" s="5"/>
      <c r="P3" s="5"/>
      <c r="Q3" s="5"/>
      <c r="R3" s="5">
        <v>4.01</v>
      </c>
      <c r="S3" s="5">
        <v>2.5</v>
      </c>
      <c r="T3" s="5">
        <v>746</v>
      </c>
      <c r="U3" s="8">
        <v>78.081333333333333</v>
      </c>
      <c r="V3" s="8">
        <v>313.10614666666663</v>
      </c>
      <c r="W3" s="5">
        <v>325</v>
      </c>
      <c r="X3" s="5">
        <v>159.6</v>
      </c>
      <c r="Y3" s="9">
        <v>0.64611256018709573</v>
      </c>
      <c r="Z3" s="5"/>
      <c r="AA3" s="5"/>
    </row>
    <row r="4" spans="1:39" x14ac:dyDescent="0.25">
      <c r="A4" s="5">
        <v>4.8600000000000003</v>
      </c>
      <c r="B4" s="2">
        <v>3</v>
      </c>
      <c r="C4" s="5">
        <v>744</v>
      </c>
      <c r="D4" s="5">
        <f t="shared" si="0"/>
        <v>77.872000000000014</v>
      </c>
      <c r="E4" s="5">
        <v>0.76</v>
      </c>
      <c r="F4" s="5">
        <v>210</v>
      </c>
      <c r="G4" s="5">
        <v>130</v>
      </c>
      <c r="H4" s="5">
        <f t="shared" ref="H4:H11" si="4">A4*D4</f>
        <v>378.45792000000012</v>
      </c>
      <c r="I4" s="5">
        <f t="shared" si="1"/>
        <v>390</v>
      </c>
      <c r="J4" s="5">
        <f t="shared" si="2"/>
        <v>159.6</v>
      </c>
      <c r="K4" s="5">
        <f t="shared" si="3"/>
        <v>0.68860611353711809</v>
      </c>
      <c r="L4" s="5"/>
      <c r="M4" s="5"/>
      <c r="N4" s="5"/>
      <c r="O4" s="5"/>
      <c r="P4" s="5"/>
      <c r="Q4" s="5"/>
      <c r="R4" s="5">
        <v>4.8600000000000003</v>
      </c>
      <c r="S4" s="5">
        <v>3</v>
      </c>
      <c r="T4" s="5">
        <v>744</v>
      </c>
      <c r="U4" s="8">
        <v>77.872000000000014</v>
      </c>
      <c r="V4" s="8">
        <v>378.45792000000012</v>
      </c>
      <c r="W4" s="5">
        <v>390</v>
      </c>
      <c r="X4" s="5">
        <v>159.6</v>
      </c>
      <c r="Y4" s="9">
        <v>0.68860611353711809</v>
      </c>
      <c r="Z4" s="5"/>
      <c r="AA4" s="5"/>
    </row>
    <row r="5" spans="1:39" x14ac:dyDescent="0.25">
      <c r="A5" s="5">
        <v>5.67</v>
      </c>
      <c r="B5" s="2">
        <v>3.5</v>
      </c>
      <c r="C5" s="5">
        <v>739</v>
      </c>
      <c r="D5" s="5">
        <f t="shared" si="0"/>
        <v>77.348666666666674</v>
      </c>
      <c r="E5" s="5">
        <v>0.76</v>
      </c>
      <c r="F5" s="5">
        <v>210</v>
      </c>
      <c r="G5" s="5">
        <v>130</v>
      </c>
      <c r="H5" s="5">
        <f t="shared" si="4"/>
        <v>438.56694000000005</v>
      </c>
      <c r="I5" s="5">
        <f t="shared" si="1"/>
        <v>455</v>
      </c>
      <c r="J5" s="5">
        <f t="shared" si="2"/>
        <v>159.6</v>
      </c>
      <c r="K5" s="5">
        <f t="shared" si="3"/>
        <v>0.71358109339407749</v>
      </c>
      <c r="L5" s="5"/>
      <c r="M5" s="5"/>
      <c r="N5" s="5"/>
      <c r="O5" s="5"/>
      <c r="P5" s="5"/>
      <c r="Q5" s="5"/>
      <c r="R5" s="5">
        <v>5.67</v>
      </c>
      <c r="S5" s="5">
        <v>3.5</v>
      </c>
      <c r="T5" s="5">
        <v>739</v>
      </c>
      <c r="U5" s="8">
        <v>77.348666666666674</v>
      </c>
      <c r="V5" s="8">
        <v>438.56694000000005</v>
      </c>
      <c r="W5" s="5">
        <v>455</v>
      </c>
      <c r="X5" s="5">
        <v>159.6</v>
      </c>
      <c r="Y5" s="9">
        <v>0.71358109339407749</v>
      </c>
      <c r="Z5" s="5"/>
      <c r="AA5" s="5"/>
    </row>
    <row r="6" spans="1:39" x14ac:dyDescent="0.25">
      <c r="A6" s="5">
        <v>6.8</v>
      </c>
      <c r="B6" s="2">
        <v>4.2</v>
      </c>
      <c r="C6" s="5">
        <v>732</v>
      </c>
      <c r="D6" s="5">
        <f t="shared" si="0"/>
        <v>76.616</v>
      </c>
      <c r="E6" s="5">
        <v>0.76</v>
      </c>
      <c r="F6" s="5">
        <v>210</v>
      </c>
      <c r="G6" s="5">
        <v>130</v>
      </c>
      <c r="H6" s="5">
        <f t="shared" si="4"/>
        <v>520.98879999999997</v>
      </c>
      <c r="I6" s="5">
        <f t="shared" si="1"/>
        <v>546</v>
      </c>
      <c r="J6" s="5">
        <f t="shared" si="2"/>
        <v>159.6</v>
      </c>
      <c r="K6" s="5">
        <f t="shared" si="3"/>
        <v>0.73836281179138319</v>
      </c>
      <c r="L6" s="5"/>
      <c r="M6" s="5"/>
      <c r="N6" s="5"/>
      <c r="O6" s="5"/>
      <c r="P6" s="5"/>
      <c r="Q6" s="5"/>
      <c r="R6" s="5">
        <v>6.8</v>
      </c>
      <c r="S6" s="5">
        <v>4.2</v>
      </c>
      <c r="T6" s="5">
        <v>732</v>
      </c>
      <c r="U6" s="8">
        <v>76.616</v>
      </c>
      <c r="V6" s="8">
        <v>520.98879999999997</v>
      </c>
      <c r="W6" s="5">
        <v>546</v>
      </c>
      <c r="X6" s="5">
        <v>159.6</v>
      </c>
      <c r="Y6" s="9">
        <v>0.73836281179138319</v>
      </c>
      <c r="Z6" s="5"/>
      <c r="AA6" s="5"/>
    </row>
    <row r="7" spans="1:39" x14ac:dyDescent="0.25">
      <c r="A7" s="5">
        <v>7.77</v>
      </c>
      <c r="B7" s="2">
        <v>4.8</v>
      </c>
      <c r="C7" s="5">
        <v>724</v>
      </c>
      <c r="D7" s="5">
        <f t="shared" si="0"/>
        <v>75.778666666666666</v>
      </c>
      <c r="E7" s="5">
        <v>0.76</v>
      </c>
      <c r="F7" s="5">
        <v>210</v>
      </c>
      <c r="G7" s="5">
        <v>130</v>
      </c>
      <c r="H7" s="5">
        <f t="shared" si="4"/>
        <v>588.80023999999992</v>
      </c>
      <c r="I7" s="5">
        <f t="shared" si="1"/>
        <v>624</v>
      </c>
      <c r="J7" s="5">
        <f t="shared" si="2"/>
        <v>159.6</v>
      </c>
      <c r="K7" s="5">
        <f t="shared" si="3"/>
        <v>0.75140408371618161</v>
      </c>
      <c r="L7" s="5"/>
      <c r="M7" s="5"/>
      <c r="N7" s="5"/>
      <c r="O7" s="5"/>
      <c r="P7" s="5"/>
      <c r="Q7" s="5"/>
      <c r="R7" s="5">
        <v>7.77</v>
      </c>
      <c r="S7" s="5">
        <v>4.8</v>
      </c>
      <c r="T7" s="5">
        <v>724</v>
      </c>
      <c r="U7" s="8">
        <v>75.778666666666666</v>
      </c>
      <c r="V7" s="8">
        <v>588.80023999999992</v>
      </c>
      <c r="W7" s="5">
        <v>624</v>
      </c>
      <c r="X7" s="5">
        <v>159.6</v>
      </c>
      <c r="Y7" s="9">
        <v>0.75140408371618161</v>
      </c>
      <c r="Z7" s="5"/>
      <c r="AA7" s="5"/>
    </row>
    <row r="8" spans="1:39" x14ac:dyDescent="0.25">
      <c r="A8" s="5">
        <v>8.9</v>
      </c>
      <c r="B8" s="2">
        <v>5.5</v>
      </c>
      <c r="C8" s="5">
        <v>720</v>
      </c>
      <c r="D8" s="5">
        <f t="shared" si="0"/>
        <v>75.36</v>
      </c>
      <c r="E8" s="5">
        <v>0.76</v>
      </c>
      <c r="F8" s="5">
        <v>210</v>
      </c>
      <c r="G8" s="5">
        <v>130</v>
      </c>
      <c r="H8" s="5">
        <f t="shared" si="4"/>
        <v>670.70400000000006</v>
      </c>
      <c r="I8" s="5">
        <f t="shared" si="1"/>
        <v>715</v>
      </c>
      <c r="J8" s="5">
        <f t="shared" si="2"/>
        <v>159.6</v>
      </c>
      <c r="K8" s="5">
        <f t="shared" si="3"/>
        <v>0.76686942602332497</v>
      </c>
      <c r="L8" s="5"/>
      <c r="M8" s="5"/>
      <c r="N8" s="5"/>
      <c r="O8" s="5"/>
      <c r="P8" s="5"/>
      <c r="Q8" s="5"/>
      <c r="R8" s="5">
        <v>8.9</v>
      </c>
      <c r="S8" s="5">
        <v>5.5</v>
      </c>
      <c r="T8" s="5">
        <v>720</v>
      </c>
      <c r="U8" s="8">
        <v>75.36</v>
      </c>
      <c r="V8" s="8">
        <v>670.70400000000006</v>
      </c>
      <c r="W8" s="5">
        <v>715</v>
      </c>
      <c r="X8" s="5">
        <v>159.6</v>
      </c>
      <c r="Y8" s="9">
        <v>0.76686942602332497</v>
      </c>
      <c r="Z8" s="5"/>
      <c r="AA8" s="5"/>
    </row>
    <row r="9" spans="1:39" x14ac:dyDescent="0.25">
      <c r="A9" s="5">
        <v>9.6999999999999993</v>
      </c>
      <c r="B9" s="2">
        <v>6</v>
      </c>
      <c r="C9" s="5">
        <v>715</v>
      </c>
      <c r="D9" s="5">
        <f t="shared" si="0"/>
        <v>74.836666666666659</v>
      </c>
      <c r="E9" s="5">
        <v>0.76</v>
      </c>
      <c r="F9" s="5">
        <v>210</v>
      </c>
      <c r="G9" s="5">
        <v>130</v>
      </c>
      <c r="H9" s="5">
        <f t="shared" si="4"/>
        <v>725.91566666666654</v>
      </c>
      <c r="I9" s="5">
        <f t="shared" si="1"/>
        <v>780</v>
      </c>
      <c r="J9" s="5">
        <f t="shared" si="2"/>
        <v>159.6</v>
      </c>
      <c r="K9" s="5">
        <f t="shared" si="3"/>
        <v>0.7725794664396195</v>
      </c>
      <c r="L9" s="5"/>
      <c r="M9" s="5"/>
      <c r="N9" s="5"/>
      <c r="O9" s="5"/>
      <c r="P9" s="5"/>
      <c r="Q9" s="5"/>
      <c r="R9" s="5">
        <v>9.6999999999999993</v>
      </c>
      <c r="S9" s="5">
        <v>6</v>
      </c>
      <c r="T9" s="5">
        <v>715</v>
      </c>
      <c r="U9" s="8">
        <v>74.836666666666659</v>
      </c>
      <c r="V9" s="8">
        <v>725.91566666666654</v>
      </c>
      <c r="W9" s="5">
        <v>780</v>
      </c>
      <c r="X9" s="5">
        <v>159.6</v>
      </c>
      <c r="Y9" s="9">
        <v>0.7725794664396195</v>
      </c>
      <c r="Z9" s="5"/>
      <c r="AA9" s="5"/>
    </row>
    <row r="10" spans="1:39" x14ac:dyDescent="0.25">
      <c r="A10" s="5">
        <v>10.5</v>
      </c>
      <c r="B10" s="2">
        <v>6.5</v>
      </c>
      <c r="C10" s="5">
        <v>710</v>
      </c>
      <c r="D10" s="5">
        <f t="shared" si="0"/>
        <v>74.313333333333333</v>
      </c>
      <c r="E10" s="5">
        <v>0.76</v>
      </c>
      <c r="F10" s="5">
        <v>210</v>
      </c>
      <c r="G10" s="5">
        <v>130</v>
      </c>
      <c r="H10" s="5">
        <f t="shared" si="4"/>
        <v>780.29</v>
      </c>
      <c r="I10" s="5">
        <f t="shared" si="1"/>
        <v>845</v>
      </c>
      <c r="J10" s="5">
        <f t="shared" si="2"/>
        <v>159.6</v>
      </c>
      <c r="K10" s="5">
        <f t="shared" si="3"/>
        <v>0.77671710133386418</v>
      </c>
      <c r="L10" s="5"/>
      <c r="M10" s="5"/>
      <c r="N10" s="5"/>
      <c r="O10" s="5"/>
      <c r="P10" s="5"/>
      <c r="Q10" s="5"/>
      <c r="R10" s="5">
        <v>10.5</v>
      </c>
      <c r="S10" s="5">
        <v>6.5</v>
      </c>
      <c r="T10" s="5">
        <v>710</v>
      </c>
      <c r="U10" s="8">
        <v>74.313333333333333</v>
      </c>
      <c r="V10" s="8">
        <v>780.29</v>
      </c>
      <c r="W10" s="5">
        <v>845</v>
      </c>
      <c r="X10" s="5">
        <v>159.6</v>
      </c>
      <c r="Y10" s="9">
        <v>0.77671710133386418</v>
      </c>
      <c r="Z10" s="5"/>
      <c r="AA10" s="5"/>
    </row>
    <row r="11" spans="1:39" x14ac:dyDescent="0.25">
      <c r="A11" s="5">
        <v>11.33</v>
      </c>
      <c r="B11" s="2">
        <v>7</v>
      </c>
      <c r="C11" s="5">
        <v>708</v>
      </c>
      <c r="D11" s="5">
        <f t="shared" si="0"/>
        <v>74.103999999999999</v>
      </c>
      <c r="E11" s="5">
        <v>0.76</v>
      </c>
      <c r="F11" s="5">
        <v>210</v>
      </c>
      <c r="G11" s="5">
        <v>130</v>
      </c>
      <c r="H11" s="5">
        <f t="shared" si="4"/>
        <v>839.59831999999994</v>
      </c>
      <c r="I11" s="5">
        <f t="shared" si="1"/>
        <v>910</v>
      </c>
      <c r="J11" s="5">
        <f t="shared" si="2"/>
        <v>159.6</v>
      </c>
      <c r="K11" s="5">
        <f t="shared" si="3"/>
        <v>0.78496477187733738</v>
      </c>
      <c r="L11" s="5"/>
      <c r="M11" s="5"/>
      <c r="N11" s="5"/>
      <c r="O11" s="5"/>
      <c r="P11" s="5"/>
      <c r="Q11" s="5"/>
      <c r="R11" s="5">
        <v>11.33</v>
      </c>
      <c r="S11" s="5">
        <v>7</v>
      </c>
      <c r="T11" s="5">
        <v>708</v>
      </c>
      <c r="U11" s="8">
        <v>74.103999999999999</v>
      </c>
      <c r="V11" s="8">
        <v>839.59831999999994</v>
      </c>
      <c r="W11" s="5">
        <v>910</v>
      </c>
      <c r="X11" s="5">
        <v>159.6</v>
      </c>
      <c r="Y11" s="9">
        <v>0.78496477187733738</v>
      </c>
      <c r="Z11" s="5"/>
      <c r="AA11" s="5"/>
      <c r="AE11" s="3"/>
      <c r="AF11" s="4"/>
      <c r="AG11" s="4"/>
      <c r="AI11" s="5"/>
      <c r="AM11" s="1"/>
    </row>
    <row r="12" spans="1:39" x14ac:dyDescent="0.25">
      <c r="A12" s="5"/>
      <c r="B12" s="2"/>
      <c r="C12" s="5"/>
      <c r="D12" s="5"/>
      <c r="E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U12" s="5"/>
      <c r="V12" s="5"/>
      <c r="W12" s="5"/>
      <c r="X12" s="5"/>
      <c r="Y12" s="5"/>
      <c r="Z12" s="5"/>
      <c r="AA12" s="5"/>
      <c r="AE12" s="3"/>
      <c r="AF12" s="4"/>
      <c r="AG12" s="4"/>
      <c r="AI12" s="5"/>
    </row>
    <row r="13" spans="1:39" x14ac:dyDescent="0.25">
      <c r="A13" s="5"/>
      <c r="B13" s="2"/>
      <c r="C13" s="5"/>
      <c r="D13" s="5"/>
      <c r="E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U13" s="5"/>
      <c r="V13" s="5"/>
      <c r="W13" s="5"/>
      <c r="X13" s="5"/>
      <c r="Y13" s="5"/>
      <c r="Z13" s="5"/>
      <c r="AA13" s="5"/>
      <c r="AE13" s="3"/>
      <c r="AF13" s="4"/>
      <c r="AG13" s="4"/>
      <c r="AI13" s="5"/>
    </row>
    <row r="14" spans="1:39" x14ac:dyDescent="0.25">
      <c r="A14" s="5"/>
      <c r="B14" s="2"/>
      <c r="C14" s="5"/>
      <c r="D14" s="5"/>
      <c r="E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U14" s="5"/>
      <c r="V14" s="5"/>
      <c r="W14" s="5"/>
      <c r="X14" s="5"/>
      <c r="Y14" s="5"/>
      <c r="Z14" s="5"/>
      <c r="AA14" s="5"/>
      <c r="AE14" s="3"/>
      <c r="AF14" s="4"/>
      <c r="AG14" s="4"/>
      <c r="AI14" s="5"/>
    </row>
    <row r="15" spans="1:39" x14ac:dyDescent="0.25">
      <c r="A15" s="5"/>
      <c r="B15" s="2"/>
      <c r="C15" s="5"/>
      <c r="D15" s="5"/>
      <c r="E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U15" s="5"/>
      <c r="V15" s="5"/>
      <c r="W15" s="5"/>
      <c r="X15" s="5"/>
      <c r="Y15" s="5"/>
      <c r="Z15" s="5"/>
      <c r="AA15" s="5"/>
      <c r="AE15" s="3"/>
      <c r="AF15" s="4"/>
      <c r="AG15" s="4"/>
      <c r="AI15" s="5"/>
    </row>
    <row r="16" spans="1:39" ht="19.5" customHeight="1" x14ac:dyDescent="0.25">
      <c r="A16" s="5"/>
      <c r="B16" s="2"/>
      <c r="C16" s="5"/>
      <c r="D16" s="5"/>
      <c r="E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2"/>
      <c r="U16" s="5"/>
      <c r="V16" s="5"/>
      <c r="W16" s="5"/>
      <c r="X16" s="5"/>
      <c r="Y16" s="5"/>
      <c r="Z16" s="5"/>
      <c r="AA16" s="5"/>
      <c r="AE16" s="3"/>
      <c r="AF16" s="4"/>
      <c r="AG16" s="4"/>
      <c r="AI16" s="5"/>
    </row>
    <row r="17" spans="1:35" ht="16.5" customHeight="1" x14ac:dyDescent="0.25">
      <c r="A17" s="5"/>
      <c r="B17" s="2"/>
      <c r="C17" s="5"/>
      <c r="D17" s="5"/>
      <c r="E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2"/>
      <c r="U17" s="5"/>
      <c r="V17" s="5"/>
      <c r="W17" s="5"/>
      <c r="X17" s="5"/>
      <c r="Y17" s="5"/>
      <c r="Z17" s="5"/>
      <c r="AA17" s="5"/>
      <c r="AE17" s="3"/>
      <c r="AF17" s="4"/>
      <c r="AG17" s="4"/>
      <c r="AI17" s="5"/>
    </row>
    <row r="18" spans="1:35" ht="23.25" customHeight="1" x14ac:dyDescent="0.25">
      <c r="A18" s="5"/>
      <c r="B18" s="7" t="s">
        <v>12</v>
      </c>
      <c r="C18" s="6"/>
      <c r="D18" s="6"/>
      <c r="E18" s="6"/>
      <c r="F18" s="6"/>
      <c r="G18" s="6"/>
      <c r="H18" s="6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2"/>
      <c r="U18" s="5"/>
      <c r="V18" s="5"/>
      <c r="W18" s="5"/>
      <c r="X18" s="5"/>
      <c r="Y18" s="5"/>
      <c r="Z18" s="5"/>
      <c r="AA18" s="5"/>
      <c r="AE18" s="3"/>
      <c r="AF18" s="4"/>
      <c r="AG18" s="4"/>
      <c r="AI18" s="5"/>
    </row>
    <row r="19" spans="1:35" ht="18" x14ac:dyDescent="0.35">
      <c r="A19" s="5" t="s">
        <v>1</v>
      </c>
      <c r="B19" s="2" t="s">
        <v>2</v>
      </c>
      <c r="C19" s="5" t="s">
        <v>0</v>
      </c>
      <c r="D19" s="5" t="s">
        <v>10</v>
      </c>
      <c r="E19" s="5" t="s">
        <v>3</v>
      </c>
      <c r="F19" s="5" t="s">
        <v>4</v>
      </c>
      <c r="G19" s="5" t="s">
        <v>5</v>
      </c>
      <c r="H19" s="5" t="s">
        <v>6</v>
      </c>
      <c r="I19" s="5" t="s">
        <v>7</v>
      </c>
      <c r="J19" s="2" t="s">
        <v>8</v>
      </c>
      <c r="K19" s="5" t="s">
        <v>11</v>
      </c>
      <c r="L19" s="5"/>
      <c r="M19" s="5"/>
      <c r="N19" s="5"/>
      <c r="O19" s="5"/>
      <c r="P19" s="5"/>
      <c r="Q19" s="5"/>
      <c r="R19" s="5" t="s">
        <v>1</v>
      </c>
      <c r="S19" s="5" t="s">
        <v>2</v>
      </c>
      <c r="T19" s="2" t="s">
        <v>0</v>
      </c>
      <c r="U19" s="5" t="s">
        <v>10</v>
      </c>
      <c r="V19" s="5" t="s">
        <v>6</v>
      </c>
      <c r="W19" s="5" t="s">
        <v>7</v>
      </c>
      <c r="X19" s="5" t="s">
        <v>9</v>
      </c>
      <c r="Y19" s="5" t="s">
        <v>11</v>
      </c>
      <c r="Z19" s="5"/>
      <c r="AA19" s="5"/>
      <c r="AE19" s="3"/>
      <c r="AF19" s="4"/>
      <c r="AG19" s="4"/>
      <c r="AI19" s="5"/>
    </row>
    <row r="20" spans="1:35" x14ac:dyDescent="0.25">
      <c r="A20" s="5">
        <v>4.05</v>
      </c>
      <c r="B20" s="2">
        <v>2.5</v>
      </c>
      <c r="C20" s="5">
        <v>1526</v>
      </c>
      <c r="D20" s="5">
        <f>C20*2*3.14/60</f>
        <v>159.72133333333335</v>
      </c>
      <c r="E20" s="5">
        <v>0.76</v>
      </c>
      <c r="F20" s="5">
        <v>215</v>
      </c>
      <c r="G20" s="5">
        <v>260</v>
      </c>
      <c r="H20" s="5">
        <f>A20*D20</f>
        <v>646.87139999999999</v>
      </c>
      <c r="I20" s="5">
        <f>G20*B20</f>
        <v>650</v>
      </c>
      <c r="J20" s="5">
        <f>F20*E20</f>
        <v>163.4</v>
      </c>
      <c r="K20" s="5">
        <f>H20/(I20+J20)</f>
        <v>0.79526850258175563</v>
      </c>
      <c r="L20" s="5"/>
      <c r="M20" s="5"/>
      <c r="N20" s="5"/>
      <c r="O20" s="5"/>
      <c r="P20" s="5"/>
      <c r="Q20" s="5"/>
      <c r="R20" s="5">
        <v>4.05</v>
      </c>
      <c r="S20" s="5">
        <v>2.5</v>
      </c>
      <c r="T20" s="2">
        <v>1526</v>
      </c>
      <c r="U20" s="8">
        <v>159.72133333333335</v>
      </c>
      <c r="V20" s="8">
        <v>646.87139999999999</v>
      </c>
      <c r="W20" s="5">
        <v>650</v>
      </c>
      <c r="X20" s="5">
        <v>163.4</v>
      </c>
      <c r="Y20" s="9">
        <v>0.79526850258175563</v>
      </c>
      <c r="Z20" s="5"/>
      <c r="AA20" s="5"/>
      <c r="AE20" s="3"/>
      <c r="AF20" s="4"/>
      <c r="AG20" s="4"/>
      <c r="AI20" s="5"/>
    </row>
    <row r="21" spans="1:35" x14ac:dyDescent="0.25">
      <c r="A21" s="5">
        <v>5.99</v>
      </c>
      <c r="B21" s="2">
        <v>3.7</v>
      </c>
      <c r="C21" s="5">
        <v>1516</v>
      </c>
      <c r="D21" s="5">
        <f t="shared" ref="D21:D29" si="5">C21*2*3.14/60</f>
        <v>158.67466666666667</v>
      </c>
      <c r="E21" s="5">
        <v>0.76</v>
      </c>
      <c r="F21" s="5">
        <v>215</v>
      </c>
      <c r="G21" s="5">
        <v>260</v>
      </c>
      <c r="H21" s="5">
        <f>A21*D21</f>
        <v>950.46125333333339</v>
      </c>
      <c r="I21" s="5">
        <f t="shared" ref="I21:I29" si="6">G21*B21</f>
        <v>962</v>
      </c>
      <c r="J21" s="5">
        <f t="shared" ref="J21:J29" si="7">F21*E21</f>
        <v>163.4</v>
      </c>
      <c r="K21" s="5">
        <f t="shared" ref="K21:K29" si="8">H21/(I21+J21)</f>
        <v>0.84455416148332441</v>
      </c>
      <c r="L21" s="5"/>
      <c r="M21" s="5"/>
      <c r="N21" s="5"/>
      <c r="O21" s="5"/>
      <c r="P21" s="5"/>
      <c r="Q21" s="5"/>
      <c r="R21" s="5">
        <v>5.99</v>
      </c>
      <c r="S21" s="5">
        <v>3.7</v>
      </c>
      <c r="T21" s="2">
        <v>1516</v>
      </c>
      <c r="U21" s="8">
        <v>158.67466666666667</v>
      </c>
      <c r="V21" s="8">
        <v>950.46125333333339</v>
      </c>
      <c r="W21" s="5">
        <v>962</v>
      </c>
      <c r="X21" s="5">
        <v>163.4</v>
      </c>
      <c r="Y21" s="9">
        <v>0.84455416148332441</v>
      </c>
      <c r="Z21" s="5"/>
      <c r="AA21" s="5"/>
      <c r="AE21" s="3"/>
      <c r="AF21" s="4"/>
      <c r="AG21" s="4"/>
      <c r="AI21" s="5"/>
    </row>
    <row r="22" spans="1:35" x14ac:dyDescent="0.25">
      <c r="A22" s="5">
        <v>7.28</v>
      </c>
      <c r="B22" s="2">
        <v>4.5</v>
      </c>
      <c r="C22" s="5">
        <v>1507</v>
      </c>
      <c r="D22" s="5">
        <f t="shared" si="5"/>
        <v>157.73266666666669</v>
      </c>
      <c r="E22" s="5">
        <v>0.76</v>
      </c>
      <c r="F22" s="5">
        <v>215</v>
      </c>
      <c r="G22" s="5">
        <v>260</v>
      </c>
      <c r="H22" s="5">
        <f t="shared" ref="H22:H29" si="9">A22*D22</f>
        <v>1148.2938133333334</v>
      </c>
      <c r="I22" s="5">
        <f t="shared" si="6"/>
        <v>1170</v>
      </c>
      <c r="J22" s="5">
        <f t="shared" si="7"/>
        <v>163.4</v>
      </c>
      <c r="K22" s="5">
        <f t="shared" si="8"/>
        <v>0.86117730113494328</v>
      </c>
      <c r="L22" s="5"/>
      <c r="M22" s="5"/>
      <c r="N22" s="5"/>
      <c r="O22" s="5"/>
      <c r="P22" s="5"/>
      <c r="Q22" s="5"/>
      <c r="R22" s="5">
        <v>7.28</v>
      </c>
      <c r="S22" s="5">
        <v>4.5</v>
      </c>
      <c r="T22" s="2">
        <v>1507</v>
      </c>
      <c r="U22" s="8">
        <v>157.73266666666669</v>
      </c>
      <c r="V22" s="8">
        <v>1148.2938133333334</v>
      </c>
      <c r="W22" s="5">
        <v>1170</v>
      </c>
      <c r="X22" s="5">
        <v>163.4</v>
      </c>
      <c r="Y22" s="9">
        <v>0.86117730113494328</v>
      </c>
      <c r="Z22" s="5"/>
      <c r="AA22" s="5"/>
    </row>
    <row r="23" spans="1:35" x14ac:dyDescent="0.25">
      <c r="A23" s="5">
        <v>9.23</v>
      </c>
      <c r="B23" s="2">
        <v>5.7</v>
      </c>
      <c r="C23" s="5">
        <v>1500</v>
      </c>
      <c r="D23" s="5">
        <f t="shared" si="5"/>
        <v>157</v>
      </c>
      <c r="E23" s="5">
        <v>0.76</v>
      </c>
      <c r="F23" s="5">
        <v>215</v>
      </c>
      <c r="G23" s="5">
        <v>260</v>
      </c>
      <c r="H23" s="5">
        <f t="shared" si="9"/>
        <v>1449.1100000000001</v>
      </c>
      <c r="I23" s="5">
        <f t="shared" si="6"/>
        <v>1482</v>
      </c>
      <c r="J23" s="5">
        <f t="shared" si="7"/>
        <v>163.4</v>
      </c>
      <c r="K23" s="5">
        <f t="shared" si="8"/>
        <v>0.88070378023580898</v>
      </c>
      <c r="L23" s="5"/>
      <c r="M23" s="5"/>
      <c r="N23" s="5"/>
      <c r="O23" s="5"/>
      <c r="P23" s="5"/>
      <c r="Q23" s="5"/>
      <c r="R23" s="5">
        <v>9.23</v>
      </c>
      <c r="S23" s="5">
        <v>5.7</v>
      </c>
      <c r="T23" s="2">
        <v>1500</v>
      </c>
      <c r="U23" s="8">
        <v>157</v>
      </c>
      <c r="V23" s="8">
        <v>1449.1100000000001</v>
      </c>
      <c r="W23" s="5">
        <v>1482</v>
      </c>
      <c r="X23" s="5">
        <v>163.4</v>
      </c>
      <c r="Y23" s="9">
        <v>0.88070378023580898</v>
      </c>
      <c r="Z23" s="5"/>
      <c r="AA23" s="5"/>
    </row>
    <row r="24" spans="1:35" x14ac:dyDescent="0.25">
      <c r="A24" s="5">
        <v>10.85</v>
      </c>
      <c r="B24" s="2">
        <v>6.7</v>
      </c>
      <c r="C24" s="5">
        <v>1490</v>
      </c>
      <c r="D24" s="5">
        <f t="shared" si="5"/>
        <v>155.95333333333335</v>
      </c>
      <c r="E24" s="5">
        <v>0.76</v>
      </c>
      <c r="F24" s="5">
        <v>215</v>
      </c>
      <c r="G24" s="5">
        <v>260</v>
      </c>
      <c r="H24" s="5">
        <f t="shared" si="9"/>
        <v>1692.0936666666666</v>
      </c>
      <c r="I24" s="5">
        <f t="shared" si="6"/>
        <v>1742</v>
      </c>
      <c r="J24" s="5">
        <f t="shared" si="7"/>
        <v>163.4</v>
      </c>
      <c r="K24" s="5">
        <f t="shared" si="8"/>
        <v>0.88805167768797444</v>
      </c>
      <c r="L24" s="5"/>
      <c r="M24" s="5"/>
      <c r="N24" s="5"/>
      <c r="O24" s="5"/>
      <c r="P24" s="5"/>
      <c r="Q24" s="5"/>
      <c r="R24" s="5">
        <v>10.85</v>
      </c>
      <c r="S24" s="5">
        <v>6.7</v>
      </c>
      <c r="T24" s="2">
        <v>1490</v>
      </c>
      <c r="U24" s="8">
        <v>155.95333333333335</v>
      </c>
      <c r="V24" s="8">
        <v>1692.0936666666666</v>
      </c>
      <c r="W24" s="5">
        <v>1742</v>
      </c>
      <c r="X24" s="5">
        <v>163.4</v>
      </c>
      <c r="Y24" s="9">
        <v>0.88805167768797444</v>
      </c>
      <c r="Z24" s="5"/>
      <c r="AA24" s="5"/>
    </row>
    <row r="25" spans="1:35" x14ac:dyDescent="0.25">
      <c r="A25" s="5">
        <v>12.95</v>
      </c>
      <c r="B25" s="2">
        <v>8</v>
      </c>
      <c r="C25" s="5">
        <v>1478</v>
      </c>
      <c r="D25" s="5">
        <f t="shared" si="5"/>
        <v>154.69733333333335</v>
      </c>
      <c r="E25" s="5">
        <v>0.76</v>
      </c>
      <c r="F25" s="5">
        <v>215</v>
      </c>
      <c r="G25" s="5">
        <v>260</v>
      </c>
      <c r="H25" s="5">
        <f t="shared" si="9"/>
        <v>2003.3304666666668</v>
      </c>
      <c r="I25" s="5">
        <f t="shared" si="6"/>
        <v>2080</v>
      </c>
      <c r="J25" s="5">
        <f t="shared" si="7"/>
        <v>163.4</v>
      </c>
      <c r="K25" s="5">
        <f t="shared" si="8"/>
        <v>0.89298852931562211</v>
      </c>
      <c r="L25" s="5"/>
      <c r="M25" s="5"/>
      <c r="N25" s="5"/>
      <c r="O25" s="5"/>
      <c r="P25" s="5"/>
      <c r="Q25" s="5"/>
      <c r="R25" s="5">
        <v>12.95</v>
      </c>
      <c r="S25" s="5">
        <v>8</v>
      </c>
      <c r="T25" s="2">
        <v>1478</v>
      </c>
      <c r="U25" s="8">
        <v>154.69733333333335</v>
      </c>
      <c r="V25" s="8">
        <v>2003.3304666666668</v>
      </c>
      <c r="W25" s="5">
        <v>2080</v>
      </c>
      <c r="X25" s="5">
        <v>163.4</v>
      </c>
      <c r="Y25" s="9">
        <v>0.89298852931562211</v>
      </c>
      <c r="Z25" s="5"/>
      <c r="AA25" s="5"/>
    </row>
    <row r="26" spans="1:35" x14ac:dyDescent="0.25">
      <c r="A26" s="5">
        <v>15.05</v>
      </c>
      <c r="B26" s="2">
        <v>9.3000000000000007</v>
      </c>
      <c r="C26" s="5">
        <v>1466</v>
      </c>
      <c r="D26" s="5">
        <f t="shared" si="5"/>
        <v>153.44133333333332</v>
      </c>
      <c r="E26" s="5">
        <v>0.76</v>
      </c>
      <c r="F26" s="5">
        <v>215</v>
      </c>
      <c r="G26" s="5">
        <v>260</v>
      </c>
      <c r="H26" s="5">
        <f t="shared" si="9"/>
        <v>2309.2920666666664</v>
      </c>
      <c r="I26" s="5">
        <f t="shared" si="6"/>
        <v>2418</v>
      </c>
      <c r="J26" s="5">
        <f t="shared" si="7"/>
        <v>163.4</v>
      </c>
      <c r="K26" s="5">
        <f t="shared" si="8"/>
        <v>0.89458900854833279</v>
      </c>
      <c r="L26" s="5"/>
      <c r="M26" s="5"/>
      <c r="N26" s="5"/>
      <c r="O26" s="5"/>
      <c r="P26" s="5"/>
      <c r="Q26" s="5"/>
      <c r="R26" s="5">
        <v>15.05</v>
      </c>
      <c r="S26" s="5">
        <v>9.3000000000000007</v>
      </c>
      <c r="T26" s="2">
        <v>1466</v>
      </c>
      <c r="U26" s="8">
        <v>153.44133333333332</v>
      </c>
      <c r="V26" s="8">
        <v>2309.2920666666664</v>
      </c>
      <c r="W26" s="5">
        <v>2418</v>
      </c>
      <c r="X26" s="5">
        <v>163.4</v>
      </c>
      <c r="Y26" s="9">
        <v>0.89458900854833279</v>
      </c>
      <c r="Z26" s="5"/>
      <c r="AA26" s="5"/>
    </row>
    <row r="27" spans="1:35" x14ac:dyDescent="0.25">
      <c r="A27" s="5">
        <v>17</v>
      </c>
      <c r="B27" s="2">
        <v>10.5</v>
      </c>
      <c r="C27" s="5">
        <v>1454</v>
      </c>
      <c r="D27" s="5">
        <f t="shared" si="5"/>
        <v>152.18533333333335</v>
      </c>
      <c r="E27" s="5">
        <v>0.76</v>
      </c>
      <c r="F27" s="5">
        <v>215</v>
      </c>
      <c r="G27" s="5">
        <v>260</v>
      </c>
      <c r="H27" s="5">
        <f t="shared" si="9"/>
        <v>2587.1506666666669</v>
      </c>
      <c r="I27" s="5">
        <f t="shared" si="6"/>
        <v>2730</v>
      </c>
      <c r="J27" s="5">
        <f t="shared" si="7"/>
        <v>163.4</v>
      </c>
      <c r="K27" s="5">
        <f t="shared" si="8"/>
        <v>0.89415589502546033</v>
      </c>
      <c r="L27" s="5"/>
      <c r="M27" s="5"/>
      <c r="N27" s="5"/>
      <c r="O27" s="5"/>
      <c r="P27" s="5"/>
      <c r="Q27" s="5"/>
      <c r="R27" s="5">
        <v>17</v>
      </c>
      <c r="S27" s="5">
        <v>10.5</v>
      </c>
      <c r="T27" s="5">
        <v>1454</v>
      </c>
      <c r="U27" s="8">
        <v>152.18533333333335</v>
      </c>
      <c r="V27" s="8">
        <v>2587.1506666666669</v>
      </c>
      <c r="W27" s="5">
        <v>2730</v>
      </c>
      <c r="X27" s="5">
        <v>163.4</v>
      </c>
      <c r="Y27" s="9">
        <v>0.89415589502546033</v>
      </c>
      <c r="Z27" s="5"/>
      <c r="AA27" s="5"/>
    </row>
    <row r="28" spans="1:35" x14ac:dyDescent="0.25">
      <c r="A28" s="5">
        <v>19.43</v>
      </c>
      <c r="B28" s="2">
        <v>12</v>
      </c>
      <c r="C28" s="5">
        <v>1442</v>
      </c>
      <c r="D28" s="5">
        <f t="shared" si="5"/>
        <v>150.92933333333335</v>
      </c>
      <c r="E28" s="5">
        <v>0.76</v>
      </c>
      <c r="F28" s="5">
        <v>215</v>
      </c>
      <c r="G28" s="5">
        <v>260</v>
      </c>
      <c r="H28" s="5">
        <f t="shared" si="9"/>
        <v>2932.556946666667</v>
      </c>
      <c r="I28" s="5">
        <f t="shared" si="6"/>
        <v>3120</v>
      </c>
      <c r="J28" s="5">
        <f t="shared" si="7"/>
        <v>163.4</v>
      </c>
      <c r="K28" s="5">
        <f t="shared" si="8"/>
        <v>0.89314641733162792</v>
      </c>
      <c r="L28" s="5"/>
      <c r="M28" s="5"/>
      <c r="N28" s="5"/>
      <c r="O28" s="5"/>
      <c r="P28" s="5"/>
      <c r="Q28" s="5"/>
      <c r="R28" s="5">
        <v>19.43</v>
      </c>
      <c r="S28" s="5">
        <v>12</v>
      </c>
      <c r="T28" s="5">
        <v>1442</v>
      </c>
      <c r="U28" s="8">
        <v>150.92933333333335</v>
      </c>
      <c r="V28" s="8">
        <v>2932.556946666667</v>
      </c>
      <c r="W28" s="5">
        <v>3120</v>
      </c>
      <c r="X28" s="5">
        <v>163.4</v>
      </c>
      <c r="Y28" s="9">
        <v>0.89314641733162792</v>
      </c>
      <c r="Z28" s="5"/>
      <c r="AA28" s="5"/>
    </row>
    <row r="29" spans="1:35" x14ac:dyDescent="0.25">
      <c r="A29" s="5">
        <v>21.85</v>
      </c>
      <c r="B29" s="2">
        <v>13.5</v>
      </c>
      <c r="C29" s="5">
        <v>1432</v>
      </c>
      <c r="D29" s="5">
        <f t="shared" si="5"/>
        <v>149.88266666666669</v>
      </c>
      <c r="E29" s="5">
        <v>0.76</v>
      </c>
      <c r="F29" s="5">
        <v>215</v>
      </c>
      <c r="G29" s="5">
        <v>260</v>
      </c>
      <c r="H29" s="5">
        <f t="shared" si="9"/>
        <v>3274.9362666666675</v>
      </c>
      <c r="I29" s="5">
        <f t="shared" si="6"/>
        <v>3510</v>
      </c>
      <c r="J29" s="5">
        <f t="shared" si="7"/>
        <v>163.4</v>
      </c>
      <c r="K29" s="5">
        <f t="shared" si="8"/>
        <v>0.89152726810765703</v>
      </c>
      <c r="L29" s="5"/>
      <c r="M29" s="5"/>
      <c r="N29" s="5"/>
      <c r="O29" s="5"/>
      <c r="P29" s="5"/>
      <c r="Q29" s="5"/>
      <c r="R29" s="5">
        <v>21.85</v>
      </c>
      <c r="S29" s="5">
        <v>13.5</v>
      </c>
      <c r="T29" s="5">
        <v>1432</v>
      </c>
      <c r="U29" s="8">
        <v>149.88266666666669</v>
      </c>
      <c r="V29" s="8">
        <v>3274.9362666666675</v>
      </c>
      <c r="W29" s="5">
        <v>3510</v>
      </c>
      <c r="X29" s="5">
        <v>163.4</v>
      </c>
      <c r="Y29" s="9">
        <v>0.89152726810765703</v>
      </c>
      <c r="Z29" s="5"/>
      <c r="AA29" s="5"/>
    </row>
    <row r="30" spans="1:35" x14ac:dyDescent="0.25">
      <c r="A30" s="5"/>
      <c r="B30" s="2"/>
      <c r="C30" s="5"/>
      <c r="D30" s="5"/>
      <c r="E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U30" s="5"/>
      <c r="V30" s="5"/>
      <c r="W30" s="5"/>
      <c r="X30" s="5"/>
      <c r="Y30" s="5"/>
      <c r="Z30" s="5"/>
      <c r="AA30" s="5"/>
    </row>
    <row r="31" spans="1:35" x14ac:dyDescent="0.25">
      <c r="A31" s="5"/>
      <c r="B31" s="2"/>
      <c r="C31" s="5"/>
      <c r="D31" s="5"/>
      <c r="E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U31" s="5"/>
      <c r="V31" s="5"/>
      <c r="W31" s="5"/>
      <c r="X31" s="5"/>
      <c r="Y31" s="5"/>
      <c r="Z31" s="5"/>
      <c r="AA31" s="5"/>
    </row>
  </sheetData>
  <mergeCells count="1">
    <mergeCell ref="B18:H18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Μαμά</dc:creator>
  <cp:lastModifiedBy>Μαμά</cp:lastModifiedBy>
  <dcterms:created xsi:type="dcterms:W3CDTF">2024-05-01T11:05:48Z</dcterms:created>
  <dcterms:modified xsi:type="dcterms:W3CDTF">2024-05-01T12:27:41Z</dcterms:modified>
</cp:coreProperties>
</file>